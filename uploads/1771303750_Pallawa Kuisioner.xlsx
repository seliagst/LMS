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fik" sheetId="1" r:id="rId4"/>
    <sheet state="visible" name="Risnawati &amp; Maranatha" sheetId="2" r:id="rId5"/>
    <sheet state="visible" name="Arnella" sheetId="3" r:id="rId6"/>
    <sheet state="visible" name="Septian" sheetId="4" r:id="rId7"/>
  </sheets>
  <definedNames/>
  <calcPr/>
</workbook>
</file>

<file path=xl/sharedStrings.xml><?xml version="1.0" encoding="utf-8"?>
<sst xmlns="http://schemas.openxmlformats.org/spreadsheetml/2006/main" count="386" uniqueCount="120">
  <si>
    <t>Aspek Penilaian</t>
  </si>
  <si>
    <t>Penilai 1</t>
  </si>
  <si>
    <t>Penilai 2</t>
  </si>
  <si>
    <t>Penilai 3</t>
  </si>
  <si>
    <t>Rata - rata</t>
  </si>
  <si>
    <t>Maranatha/Risnawati</t>
  </si>
  <si>
    <t>Arnella</t>
  </si>
  <si>
    <t>Septian</t>
  </si>
  <si>
    <t>I. ASPEK BAHASA</t>
  </si>
  <si>
    <t>II. ASPEK KUALITAS ISI</t>
  </si>
  <si>
    <t>III. ASPEK GAMBAR DAN MEDIA</t>
  </si>
  <si>
    <t>IV. ASPEK USABILITAS</t>
  </si>
  <si>
    <t>V. ASPEK KOMPABILITAS</t>
  </si>
  <si>
    <t>VI. TAMPILAN</t>
  </si>
  <si>
    <t>TOTAL</t>
  </si>
  <si>
    <t>KISI-KISI INSTRUMEN PENILAIAN AHLI MEDIA</t>
  </si>
  <si>
    <t>No.</t>
  </si>
  <si>
    <t>Aspek</t>
  </si>
  <si>
    <t>Indikator</t>
  </si>
  <si>
    <t>Nomor 
Pernyataan</t>
  </si>
  <si>
    <t>Jumlah</t>
  </si>
  <si>
    <t>1.</t>
  </si>
  <si>
    <t>Bahasa</t>
  </si>
  <si>
    <t>Penggunaan Bahasa</t>
  </si>
  <si>
    <t>1,2.3</t>
  </si>
  <si>
    <t>2.</t>
  </si>
  <si>
    <t>Kualitas isi</t>
  </si>
  <si>
    <t>A. Bagiam halaman utama (home)</t>
  </si>
  <si>
    <t>B. Bagian Isi</t>
  </si>
  <si>
    <t>5, 6, 7, 8</t>
  </si>
  <si>
    <t>3.</t>
  </si>
  <si>
    <t>Gambar/Ilustrasi dan Video/Game/Materi</t>
  </si>
  <si>
    <t>A. Penyajian gambar/ilustrasi</t>
  </si>
  <si>
    <t>B. Penyajian video/game/materi</t>
  </si>
  <si>
    <t>4.</t>
  </si>
  <si>
    <t>Usabilitas</t>
  </si>
  <si>
    <t>A. Kemudahan penggunaan dan pengoperasian</t>
  </si>
  <si>
    <t>11, 12</t>
  </si>
  <si>
    <t>B. Interaksi</t>
  </si>
  <si>
    <t>5.</t>
  </si>
  <si>
    <t>Kompabilitas</t>
  </si>
  <si>
    <t>Kompabilitas media pembelajaran</t>
  </si>
  <si>
    <t>6.</t>
  </si>
  <si>
    <t>Tampilan</t>
  </si>
  <si>
    <t>A. Tampilan warna, gambar dan video</t>
  </si>
  <si>
    <t>B. Tampilan menu, ikon, dan navigasi</t>
  </si>
  <si>
    <t>Instrumen merupakan modifikasi dari:</t>
  </si>
  <si>
    <t>Astriawati, F., &amp; Djukri. (2019). Developing Chamilo-Based E-Learning in Environmental Change Material to Enhance Students ’ Scientific Literacy Skills. Journal of Physics: Conference Series, 1397 01204, 1–9. https://doi.org/10.1088/1742-6596/1397/1/012049</t>
  </si>
  <si>
    <t>Roenah dan I. Kartika. (2019). Pengembangan Modul IPA Berbasis Literasi Sains pada Materi Suhu, Pemuaian, dan Kalor untuk Peserta Didik SMP/MTs Kelas VII. JRPF : Jurnal Riset Pendidikan Fisika, 4(2), 91–97.</t>
  </si>
  <si>
    <t>*Instrumen telah divalidasi oleh ahli</t>
  </si>
  <si>
    <t>LEMBAR VALIDASI MEDIA</t>
  </si>
  <si>
    <t xml:space="preserve">Judul Media Pembelajaran  : </t>
  </si>
  <si>
    <t>Pallawa</t>
  </si>
  <si>
    <t>Nama Penilai                          :</t>
  </si>
  <si>
    <t>Maranatha Nur Chiesa/Risnawati</t>
  </si>
  <si>
    <r>
      <rPr>
        <rFont val="Times New Roman"/>
        <b/>
        <color theme="1"/>
        <sz val="12.0"/>
      </rPr>
      <t xml:space="preserve">Petunjuk Pengisian: </t>
    </r>
    <r>
      <rPr>
        <rFont val="Times New Roman"/>
        <color theme="1"/>
        <sz val="12.0"/>
      </rPr>
      <t xml:space="preserve">
1. Silakan mencoba media pembelajaran 
2. Kemudian berikan tanda ceklist (√) pada kolom yang sesuai dengan berdasarkan pada rubrik  penilaian dengan ketentuan sebagai berikut: 
Skor 4 : Sangat Setuju 
Skor 3 : Setuju 
Skor 2 : Tidak Setuju 
Skor 1 : Sangat Tidak Setuju 
</t>
    </r>
    <r>
      <rPr>
        <rFont val="Times New Roman"/>
        <b/>
        <color theme="1"/>
        <sz val="12.0"/>
      </rPr>
      <t>*rubrik penilaian terlampir</t>
    </r>
    <r>
      <rPr>
        <rFont val="Times New Roman"/>
        <color theme="1"/>
        <sz val="12.0"/>
      </rPr>
      <t xml:space="preserve"> 
Apabila terdapat penilaian dengan skor 1 dan 2 terhadap media pembelajaran, mohon untuk  memberikan saran pada lembar masukan/saran perihal kekurangan media pembelajaran tersebut.</t>
    </r>
  </si>
  <si>
    <t>Pernyataan</t>
  </si>
  <si>
    <t>Penilaian</t>
  </si>
  <si>
    <t>Bahasa yang digunakan komunikatif</t>
  </si>
  <si>
    <t>√</t>
  </si>
  <si>
    <t>Bahasa yang digunakan sesuai dengan tingkat perkembangan peserta didik</t>
  </si>
  <si>
    <t>Bahasa yang digunakan sesuai dengan kaidah bahasa Indonesia</t>
  </si>
  <si>
    <t>A. Bagian Halaman Utama/Home</t>
  </si>
  <si>
    <t>Penampilan halaman utama mewakili konten media pembelajaran yang disajikan</t>
  </si>
  <si>
    <t>Kesesuaian materi dengan KI, KD, Indikator, Tujuan pembelajaran</t>
  </si>
  <si>
    <t>Materi yang disajikan sesuai dengan menu utama</t>
  </si>
  <si>
    <t>7.</t>
  </si>
  <si>
    <t>Ketepatan penggunaan variasi huruf</t>
  </si>
  <si>
    <t>8.</t>
  </si>
  <si>
    <t>Kesesuaian ukuran huruf</t>
  </si>
  <si>
    <t>9.</t>
  </si>
  <si>
    <t>Gambar/Ilutrasi disajikan secara jelas</t>
  </si>
  <si>
    <t>10.</t>
  </si>
  <si>
    <t>Game disajikan secara jelas</t>
  </si>
  <si>
    <t>11.</t>
  </si>
  <si>
    <t>Kemudahan penggunaan media pembelajaran</t>
  </si>
  <si>
    <t>12.</t>
  </si>
  <si>
    <t>Pengoperasian menu dalam media pembelajaran</t>
  </si>
  <si>
    <t>13.</t>
  </si>
  <si>
    <t>Media pembelajaran berbasis literasi yang dibuat bersifat interaktif</t>
  </si>
  <si>
    <t>14.</t>
  </si>
  <si>
    <t>Media pembelajaran kompatibel dengan perangkat komunikasi</t>
  </si>
  <si>
    <t>15.</t>
  </si>
  <si>
    <t>Warna, gambar/video/animasi disajikan secara menarik dan proposional</t>
  </si>
  <si>
    <t>16.</t>
  </si>
  <si>
    <t>Tampilan menu, button, dan ikon navigasi disajikan menarik</t>
  </si>
  <si>
    <t>JUMLAH</t>
  </si>
  <si>
    <t>LEMBAR MASUKAN/SARAN</t>
  </si>
  <si>
    <t xml:space="preserve">Petunjuk: </t>
  </si>
  <si>
    <t xml:space="preserve">
1. Apabila ada kesalahan pada media, mohon untuk dituliskan jenis kesalahan atau kekurangan pada  kolom (a) 
2. Mohon untuk memberikan saran perbaikan pada kolom (b) 
</t>
  </si>
  <si>
    <t>NO</t>
  </si>
  <si>
    <t>Jenis Kesalahan (a)</t>
  </si>
  <si>
    <t>Saran Perbaikan (b)</t>
  </si>
  <si>
    <t>Terdapat kesalahan dalam quiz</t>
  </si>
  <si>
    <t>Diperbaiki sesuai dengan kaidah bahasa jawa (aksara) yang benar</t>
  </si>
  <si>
    <t>Tidak ada penjelasan sandhangan untuk cara penggunaan dan bagaimana cara penyebuatan sandhangan</t>
  </si>
  <si>
    <t>Berikan penjelasan mengenai penggunaanya</t>
  </si>
  <si>
    <t>Saran/Komentar</t>
  </si>
  <si>
    <t>Tambahkan penjelasan materi supaya siswa lebih mudah memahami materi yang terdapat di dalam game.</t>
  </si>
  <si>
    <t>Kesimpulan</t>
  </si>
  <si>
    <t>(c)</t>
  </si>
  <si>
    <t xml:space="preserve">Media pembelajaran ini dinyatakan: </t>
  </si>
  <si>
    <t>Layak untuk uji coba lapangan tanpa revisi</t>
  </si>
  <si>
    <t>Layak untuk uji coba lapangan dengan revisis sesuai masukan dan saran</t>
  </si>
  <si>
    <t>Tidak layak untuk uji coba lapangan</t>
  </si>
  <si>
    <t>*mohon memberikan tanda chek list (√) pada kotak (c) yang tersedia sesuai dengan kesimpulan</t>
  </si>
  <si>
    <t>Surakarta, 26 November 2024</t>
  </si>
  <si>
    <t>Risnawati</t>
  </si>
  <si>
    <t>Arnella Hayya Amalia Ovin</t>
  </si>
  <si>
    <r>
      <rPr>
        <rFont val="Times New Roman"/>
        <b/>
        <color theme="1"/>
        <sz val="12.0"/>
      </rPr>
      <t xml:space="preserve">Petunjuk Pengisian: </t>
    </r>
    <r>
      <rPr>
        <rFont val="Times New Roman"/>
        <color theme="1"/>
        <sz val="12.0"/>
      </rPr>
      <t xml:space="preserve">
1. Silakan mencoba media pembelajaran 
2. Kemudian berikan tanda ceklist (√) pada kolom yang sesuai dengan berdasarkan pada rubrik  penilaian dengan ketentuan sebagai berikut: 
Skor 4 : Sangat Setuju 
Skor 3 : Setuju 
Skor 2 : Tidak Setuju 
Skor 1 : Sangat Tidak Setuju 
</t>
    </r>
    <r>
      <rPr>
        <rFont val="Times New Roman"/>
        <b/>
        <color theme="1"/>
        <sz val="12.0"/>
      </rPr>
      <t>*rubrik penilaian terlampir</t>
    </r>
    <r>
      <rPr>
        <rFont val="Times New Roman"/>
        <color theme="1"/>
        <sz val="12.0"/>
      </rPr>
      <t xml:space="preserve"> 
Apabila terdapat penilaian dengan skor 1 dan 2 terhadap media pembelajaran, mohon untuk  memberikan saran pada lembar masukan/saran perihal kekurangan media pembelajaran tersebut.</t>
    </r>
  </si>
  <si>
    <t>Tidak ada penjelasan pada materi sandhangan dan pasangan.</t>
  </si>
  <si>
    <t>Sebaiknya diberikan penjelasan mengenai kegunaannya agar pengguna dapat belajar dan memahaminya terlebih dahulu.</t>
  </si>
  <si>
    <t xml:space="preserve">Media pembelajaran sudah bagus, tampilannya menarik, dan mudah untuk digunakan. Namun, sebaiknya diberikan tambahan penjelasan pada bagian materi sandhangan dan pasangan, sehingga pengguna dapat belajar dan memahaminya terlebih dahulu. </t>
  </si>
  <si>
    <t>Surakarta, 21 November 2024</t>
  </si>
  <si>
    <t>Septian Dwi Cahyo Nugroho</t>
  </si>
  <si>
    <r>
      <rPr>
        <rFont val="Times New Roman"/>
        <b/>
        <color theme="1"/>
        <sz val="12.0"/>
      </rPr>
      <t xml:space="preserve">Petunjuk Pengisian: </t>
    </r>
    <r>
      <rPr>
        <rFont val="Times New Roman"/>
        <color theme="1"/>
        <sz val="12.0"/>
      </rPr>
      <t xml:space="preserve">
1. Silakan mencoba media pembelajaran 
2. Kemudian berikan tanda ceklist (√) pada kolom yang sesuai dengan berdasarkan pada rubrik  penilaian dengan ketentuan sebagai berikut: 
Skor 4 : Sangat Setuju 
Skor 3 : Setuju 
Skor 2 : Tidak Setuju 
Skor 1 : Sangat Tidak Setuju 
</t>
    </r>
    <r>
      <rPr>
        <rFont val="Times New Roman"/>
        <b/>
        <color theme="1"/>
        <sz val="12.0"/>
      </rPr>
      <t>*rubrik penilaian terlampir</t>
    </r>
    <r>
      <rPr>
        <rFont val="Times New Roman"/>
        <color theme="1"/>
        <sz val="12.0"/>
      </rPr>
      <t xml:space="preserve"> 
Apabila terdapat penilaian dengan skor 1 dan 2 terhadap media pembelajaran, mohon untuk  memberikan saran pada lembar masukan/saran perihal kekurangan media pembelajaran tersebut.</t>
    </r>
  </si>
  <si>
    <t>Tidak adanya tombol atau button untuk keluar dari aplikasi.</t>
  </si>
  <si>
    <t>Dapat ditambahkan tombol atau button untuk keluar dari aplikasi pada “Main Menu”.</t>
  </si>
  <si>
    <t>Sudah bagus dan menarik, mungkin saran saya pada quiz dapat diperbanyak variasi jawaban yang memiliki kemiripan agar user dapat berpikir lebih kritis.</t>
  </si>
  <si>
    <t>Surakarta, 25 November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</si>
</sst>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Times New Roman"/>
    </font>
    <font/>
    <font>
      <color theme="1"/>
      <name val="Times New Roman"/>
    </font>
    <font>
      <b/>
      <sz val="12.0"/>
      <color theme="1"/>
      <name val="Times New Roman"/>
    </font>
    <font>
      <sz val="12.0"/>
      <color rgb="FF0000FF"/>
      <name val="Times New Roman"/>
    </font>
    <font>
      <b/>
      <sz val="15.0"/>
      <color theme="1"/>
      <name val="Times New Roman"/>
    </font>
    <font>
      <sz val="12.0"/>
      <color rgb="FF000000"/>
      <name val="&quot;Times New Roman&quot;"/>
    </font>
    <font>
      <sz val="12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bottom"/>
    </xf>
    <xf borderId="3" fillId="0" fontId="3" numFmtId="0" xfId="0" applyBorder="1" applyFont="1"/>
    <xf borderId="2" fillId="0" fontId="2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shrinkToFit="0" vertical="bottom" wrapText="1"/>
    </xf>
    <xf borderId="2" fillId="0" fontId="1" numFmtId="0" xfId="0" applyAlignment="1" applyBorder="1" applyFont="1">
      <alignment horizontal="center" readingOrder="0" vertical="bottom"/>
    </xf>
    <xf borderId="2" fillId="0" fontId="4" numFmtId="0" xfId="0" applyAlignment="1" applyBorder="1" applyFont="1">
      <alignment horizontal="center" readingOrder="0" shrinkToFit="0" vertical="bottom" wrapText="1"/>
    </xf>
    <xf borderId="2" fillId="0" fontId="4" numFmtId="0" xfId="0" applyAlignment="1" applyBorder="1" applyFont="1">
      <alignment horizontal="center" readingOrder="0" vertical="bottom"/>
    </xf>
    <xf borderId="2" fillId="0" fontId="4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 vertical="bottom"/>
    </xf>
    <xf borderId="2" fillId="0" fontId="2" numFmtId="0" xfId="0" applyAlignment="1" applyBorder="1" applyFont="1">
      <alignment vertical="bottom"/>
    </xf>
    <xf borderId="0" fillId="0" fontId="5" numFmtId="0" xfId="0" applyAlignment="1" applyFont="1">
      <alignment horizontal="center"/>
    </xf>
    <xf borderId="2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2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2" numFmtId="0" xfId="0" applyAlignment="1" applyFont="1">
      <alignment vertical="bottom"/>
    </xf>
    <xf borderId="6" fillId="2" fontId="7" numFmtId="0" xfId="0" applyAlignment="1" applyBorder="1" applyFill="1" applyFont="1">
      <alignment horizontal="center" vertical="center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4" fillId="0" fontId="5" numFmtId="0" xfId="0" applyAlignment="1" applyBorder="1" applyFont="1">
      <alignment vertical="bottom"/>
    </xf>
    <xf borderId="4" fillId="3" fontId="5" numFmtId="0" xfId="0" applyAlignment="1" applyBorder="1" applyFill="1" applyFont="1">
      <alignment readingOrder="0" vertical="bottom"/>
    </xf>
    <xf borderId="12" fillId="0" fontId="3" numFmtId="0" xfId="0" applyBorder="1" applyFont="1"/>
    <xf borderId="4" fillId="3" fontId="5" numFmtId="0" xfId="0" applyAlignment="1" applyBorder="1" applyFont="1">
      <alignment vertical="bottom"/>
    </xf>
    <xf borderId="4" fillId="0" fontId="5" numFmtId="0" xfId="0" applyAlignment="1" applyBorder="1" applyFont="1">
      <alignment readingOrder="0" vertical="bottom"/>
    </xf>
    <xf borderId="0" fillId="0" fontId="2" numFmtId="0" xfId="0" applyAlignment="1" applyFont="1">
      <alignment shrinkToFit="0" vertical="bottom" wrapText="1"/>
    </xf>
    <xf borderId="1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bottom" wrapText="1"/>
    </xf>
    <xf borderId="2" fillId="0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readingOrder="0"/>
    </xf>
    <xf borderId="13" fillId="0" fontId="3" numFmtId="0" xfId="0" applyBorder="1" applyFont="1"/>
    <xf borderId="2" fillId="0" fontId="2" numFmtId="0" xfId="0" applyAlignment="1" applyBorder="1" applyFont="1">
      <alignment vertical="center"/>
    </xf>
    <xf borderId="2" fillId="3" fontId="8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vertical="top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readingOrder="0" shrinkToFit="0" vertical="bottom" wrapText="1"/>
    </xf>
    <xf borderId="2" fillId="0" fontId="1" numFmtId="0" xfId="0" applyAlignment="1" applyBorder="1" applyFont="1">
      <alignment horizontal="center" vertical="center"/>
    </xf>
    <xf borderId="0" fillId="3" fontId="8" numFmtId="0" xfId="0" applyAlignment="1" applyFont="1">
      <alignment horizontal="center" readingOrder="0" vertical="center"/>
    </xf>
    <xf borderId="4" fillId="0" fontId="2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horizontal="center"/>
    </xf>
    <xf borderId="0" fillId="0" fontId="1" numFmtId="0" xfId="0" applyAlignment="1" applyFont="1">
      <alignment vertical="top"/>
    </xf>
    <xf borderId="0" fillId="0" fontId="1" numFmtId="0" xfId="0" applyFont="1"/>
    <xf borderId="14" fillId="0" fontId="2" numFmtId="0" xfId="0" applyAlignment="1" applyBorder="1" applyFont="1">
      <alignment readingOrder="0" vertical="bottom"/>
    </xf>
    <xf borderId="15" fillId="0" fontId="3" numFmtId="0" xfId="0" applyBorder="1" applyFont="1"/>
    <xf borderId="14" fillId="0" fontId="3" numFmtId="0" xfId="0" applyBorder="1" applyFont="1"/>
    <xf borderId="2" fillId="2" fontId="5" numFmtId="0" xfId="0" applyAlignment="1" applyBorder="1" applyFont="1">
      <alignment horizontal="center" vertical="bottom"/>
    </xf>
    <xf borderId="4" fillId="2" fontId="5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left" readingOrder="0" shrinkToFit="0" vertical="center" wrapText="1"/>
    </xf>
    <xf borderId="4" fillId="0" fontId="9" numFmtId="0" xfId="0" applyAlignment="1" applyBorder="1" applyFont="1">
      <alignment horizontal="left" readingOrder="0" shrinkToFit="0" vertical="center" wrapText="1"/>
    </xf>
    <xf borderId="10" fillId="0" fontId="9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vertical="bottom"/>
    </xf>
    <xf borderId="4" fillId="2" fontId="5" numFmtId="0" xfId="0" applyAlignment="1" applyBorder="1" applyFont="1">
      <alignment vertical="bottom"/>
    </xf>
    <xf borderId="6" fillId="0" fontId="2" numFmtId="0" xfId="0" applyAlignment="1" applyBorder="1" applyFont="1">
      <alignment readingOrder="0" shrinkToFit="0" vertical="top" wrapText="1"/>
    </xf>
    <xf borderId="4" fillId="0" fontId="5" numFmtId="0" xfId="0" applyAlignment="1" applyBorder="1" applyFont="1">
      <alignment horizontal="center" vertical="bottom"/>
    </xf>
    <xf borderId="2" fillId="0" fontId="1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2" fillId="3" fontId="8" numFmtId="0" xfId="0" applyAlignment="1" applyBorder="1" applyFont="1">
      <alignment horizontal="center" readingOrder="0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2" fillId="0" fontId="5" numFmtId="0" xfId="0" applyAlignment="1" applyBorder="1" applyFont="1">
      <alignment horizontal="center" shrinkToFit="0" vertical="bottom" wrapText="1"/>
    </xf>
    <xf borderId="0" fillId="3" fontId="8" numFmtId="0" xfId="0" applyAlignment="1" applyFont="1">
      <alignment horizontal="center" readingOrder="0"/>
    </xf>
    <xf borderId="4" fillId="0" fontId="5" numFmtId="0" xfId="0" applyAlignment="1" applyBorder="1" applyFont="1">
      <alignment readingOrder="0" vertical="center"/>
    </xf>
    <xf borderId="0" fillId="0" fontId="5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Maranatha/Risnawati, Arnella, Septian, dan Rata - rata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Grafik!$C$4:$C$5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Grafik!$B$6:$B$11</c:f>
            </c:strRef>
          </c:cat>
          <c:val>
            <c:numRef>
              <c:f>Grafik!$C$6:$C$11</c:f>
              <c:numCache/>
            </c:numRef>
          </c:val>
        </c:ser>
        <c:ser>
          <c:idx val="1"/>
          <c:order val="1"/>
          <c:tx>
            <c:strRef>
              <c:f>Grafik!$D$4:$D$5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Grafik!$B$6:$B$11</c:f>
            </c:strRef>
          </c:cat>
          <c:val>
            <c:numRef>
              <c:f>Grafik!$D$6:$D$11</c:f>
              <c:numCache/>
            </c:numRef>
          </c:val>
        </c:ser>
        <c:ser>
          <c:idx val="2"/>
          <c:order val="2"/>
          <c:tx>
            <c:strRef>
              <c:f>Grafik!$E$4:$E$5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Grafik!$B$6:$B$11</c:f>
            </c:strRef>
          </c:cat>
          <c:val>
            <c:numRef>
              <c:f>Grafik!$E$6:$E$11</c:f>
              <c:numCache/>
            </c:numRef>
          </c:val>
        </c:ser>
        <c:ser>
          <c:idx val="3"/>
          <c:order val="3"/>
          <c:tx>
            <c:strRef>
              <c:f>Grafik!$F$4:$F$5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Grafik!$B$6:$B$11</c:f>
            </c:strRef>
          </c:cat>
          <c:val>
            <c:numRef>
              <c:f>Grafik!$F$6:$F$11</c:f>
              <c:numCache/>
            </c:numRef>
          </c:val>
        </c:ser>
        <c:overlap val="100"/>
        <c:axId val="2059236685"/>
        <c:axId val="1006815097"/>
      </c:barChart>
      <c:catAx>
        <c:axId val="20592366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Aspek Penilaian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6815097"/>
      </c:catAx>
      <c:valAx>
        <c:axId val="10068150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92366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5715000" cy="3533775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101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101</xdr:row>
      <xdr:rowOff>0</xdr:rowOff>
    </xdr:from>
    <xdr:ext cx="314325" cy="200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101</xdr:row>
      <xdr:rowOff>0</xdr:rowOff>
    </xdr:from>
    <xdr:ext cx="30480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13"/>
    <col customWidth="1" min="3" max="3" width="18.13"/>
  </cols>
  <sheetData>
    <row r="3">
      <c r="B3" s="1"/>
    </row>
    <row r="4">
      <c r="B4" s="2" t="s">
        <v>0</v>
      </c>
      <c r="C4" s="3" t="s">
        <v>1</v>
      </c>
      <c r="D4" s="3" t="s">
        <v>2</v>
      </c>
      <c r="E4" s="3" t="s">
        <v>3</v>
      </c>
      <c r="F4" s="2" t="s">
        <v>4</v>
      </c>
    </row>
    <row r="5">
      <c r="B5" s="4"/>
      <c r="C5" s="5" t="s">
        <v>5</v>
      </c>
      <c r="D5" s="5" t="s">
        <v>6</v>
      </c>
      <c r="E5" s="5" t="s">
        <v>7</v>
      </c>
      <c r="F5" s="4"/>
    </row>
    <row r="6">
      <c r="B6" s="6" t="s">
        <v>8</v>
      </c>
      <c r="C6" s="7">
        <v>9.0</v>
      </c>
      <c r="D6" s="8">
        <v>11.0</v>
      </c>
      <c r="E6" s="9">
        <v>11.0</v>
      </c>
      <c r="F6" s="10">
        <f t="shared" ref="F6:F12" si="1">AVERAGE(C6:E6)</f>
        <v>10.33333333</v>
      </c>
    </row>
    <row r="7">
      <c r="B7" s="6" t="s">
        <v>9</v>
      </c>
      <c r="C7" s="11">
        <v>20.0</v>
      </c>
      <c r="D7" s="9">
        <v>20.0</v>
      </c>
      <c r="E7" s="9">
        <v>18.0</v>
      </c>
      <c r="F7" s="10">
        <f t="shared" si="1"/>
        <v>19.33333333</v>
      </c>
    </row>
    <row r="8">
      <c r="B8" s="6" t="s">
        <v>10</v>
      </c>
      <c r="C8" s="11">
        <v>8.0</v>
      </c>
      <c r="D8" s="9">
        <v>8.0</v>
      </c>
      <c r="E8" s="12">
        <v>8.0</v>
      </c>
      <c r="F8" s="10">
        <f t="shared" si="1"/>
        <v>8</v>
      </c>
    </row>
    <row r="9">
      <c r="B9" s="6" t="s">
        <v>11</v>
      </c>
      <c r="C9" s="11">
        <v>11.0</v>
      </c>
      <c r="D9" s="9">
        <v>12.0</v>
      </c>
      <c r="E9" s="9">
        <v>11.0</v>
      </c>
      <c r="F9" s="10">
        <f t="shared" si="1"/>
        <v>11.33333333</v>
      </c>
    </row>
    <row r="10">
      <c r="B10" s="6" t="s">
        <v>12</v>
      </c>
      <c r="C10" s="11">
        <v>3.0</v>
      </c>
      <c r="D10" s="9">
        <v>4.0</v>
      </c>
      <c r="E10" s="12">
        <v>4.0</v>
      </c>
      <c r="F10" s="10">
        <f t="shared" si="1"/>
        <v>3.666666667</v>
      </c>
    </row>
    <row r="11">
      <c r="B11" s="6" t="s">
        <v>13</v>
      </c>
      <c r="C11" s="11">
        <v>8.0</v>
      </c>
      <c r="D11" s="8">
        <v>8.0</v>
      </c>
      <c r="E11" s="9">
        <v>7.0</v>
      </c>
      <c r="F11" s="10">
        <f t="shared" si="1"/>
        <v>7.666666667</v>
      </c>
    </row>
    <row r="12">
      <c r="B12" s="13" t="s">
        <v>14</v>
      </c>
      <c r="C12" s="11">
        <f t="shared" ref="C12:E12" si="2">SUM(C6:C11)</f>
        <v>59</v>
      </c>
      <c r="D12" s="11">
        <f t="shared" si="2"/>
        <v>63</v>
      </c>
      <c r="E12" s="11">
        <f t="shared" si="2"/>
        <v>59</v>
      </c>
      <c r="F12" s="10">
        <f t="shared" si="1"/>
        <v>60.33333333</v>
      </c>
    </row>
  </sheetData>
  <mergeCells count="2">
    <mergeCell ref="B4:B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1.5"/>
  </cols>
  <sheetData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4" t="s">
        <v>15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5" t="s">
        <v>16</v>
      </c>
      <c r="C5" s="15" t="s">
        <v>17</v>
      </c>
      <c r="D5" s="16" t="s">
        <v>18</v>
      </c>
      <c r="E5" s="17"/>
      <c r="F5" s="15" t="s">
        <v>19</v>
      </c>
      <c r="G5" s="15" t="s">
        <v>20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8" t="s">
        <v>21</v>
      </c>
      <c r="C6" s="6" t="s">
        <v>22</v>
      </c>
      <c r="D6" s="19" t="s">
        <v>23</v>
      </c>
      <c r="E6" s="17"/>
      <c r="F6" s="18" t="s">
        <v>24</v>
      </c>
      <c r="G6" s="18">
        <v>3.0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0" t="s">
        <v>25</v>
      </c>
      <c r="C7" s="21" t="s">
        <v>26</v>
      </c>
      <c r="D7" s="19" t="s">
        <v>27</v>
      </c>
      <c r="E7" s="17"/>
      <c r="F7" s="18">
        <v>4.0</v>
      </c>
      <c r="G7" s="20">
        <v>5.0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4"/>
      <c r="C8" s="4"/>
      <c r="D8" s="19" t="s">
        <v>28</v>
      </c>
      <c r="E8" s="17"/>
      <c r="F8" s="18" t="s">
        <v>29</v>
      </c>
      <c r="G8" s="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0" t="s">
        <v>30</v>
      </c>
      <c r="C9" s="21" t="s">
        <v>31</v>
      </c>
      <c r="D9" s="19" t="s">
        <v>32</v>
      </c>
      <c r="E9" s="17"/>
      <c r="F9" s="18">
        <v>9.0</v>
      </c>
      <c r="G9" s="20">
        <v>2.0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4"/>
      <c r="C10" s="4"/>
      <c r="D10" s="19" t="s">
        <v>33</v>
      </c>
      <c r="E10" s="17"/>
      <c r="F10" s="18">
        <v>10.0</v>
      </c>
      <c r="G10" s="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0" t="s">
        <v>34</v>
      </c>
      <c r="C11" s="21" t="s">
        <v>35</v>
      </c>
      <c r="D11" s="19" t="s">
        <v>36</v>
      </c>
      <c r="E11" s="17"/>
      <c r="F11" s="18" t="s">
        <v>37</v>
      </c>
      <c r="G11" s="20">
        <v>3.0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4"/>
      <c r="C12" s="4"/>
      <c r="D12" s="19" t="s">
        <v>38</v>
      </c>
      <c r="E12" s="17"/>
      <c r="F12" s="18">
        <v>13.0</v>
      </c>
      <c r="G12" s="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8" t="s">
        <v>39</v>
      </c>
      <c r="C13" s="22" t="s">
        <v>40</v>
      </c>
      <c r="D13" s="19" t="s">
        <v>41</v>
      </c>
      <c r="E13" s="17"/>
      <c r="F13" s="18">
        <v>14.0</v>
      </c>
      <c r="G13" s="18">
        <v>1.0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3" t="s">
        <v>42</v>
      </c>
      <c r="C14" s="21" t="s">
        <v>43</v>
      </c>
      <c r="D14" s="19" t="s">
        <v>44</v>
      </c>
      <c r="E14" s="17"/>
      <c r="F14" s="18">
        <v>15.0</v>
      </c>
      <c r="G14" s="20">
        <v>2.0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4"/>
      <c r="C15" s="4"/>
      <c r="D15" s="19" t="s">
        <v>45</v>
      </c>
      <c r="E15" s="17"/>
      <c r="F15" s="18">
        <v>16.0</v>
      </c>
      <c r="G15" s="4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4" t="s">
        <v>46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5" t="s">
        <v>47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6" t="s">
        <v>48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6" t="s">
        <v>49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7" t="s">
        <v>50</v>
      </c>
      <c r="C23" s="28"/>
      <c r="D23" s="28"/>
      <c r="E23" s="28"/>
      <c r="F23" s="28"/>
      <c r="G23" s="2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30"/>
      <c r="C24" s="31"/>
      <c r="D24" s="31"/>
      <c r="E24" s="31"/>
      <c r="F24" s="31"/>
      <c r="G24" s="3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33" t="s">
        <v>51</v>
      </c>
      <c r="C25" s="17"/>
      <c r="D25" s="34" t="s">
        <v>52</v>
      </c>
      <c r="E25" s="35"/>
      <c r="F25" s="35"/>
      <c r="G25" s="1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36" t="s">
        <v>53</v>
      </c>
      <c r="C26" s="17"/>
      <c r="D26" s="37" t="s">
        <v>54</v>
      </c>
      <c r="E26" s="35"/>
      <c r="F26" s="35"/>
      <c r="G26" s="1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38" t="s">
        <v>55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39" t="s">
        <v>16</v>
      </c>
      <c r="C41" s="39" t="s">
        <v>56</v>
      </c>
      <c r="D41" s="40" t="s">
        <v>57</v>
      </c>
      <c r="E41" s="35"/>
      <c r="F41" s="35"/>
      <c r="G41" s="17"/>
      <c r="H41" s="2" t="s">
        <v>14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4"/>
      <c r="C42" s="4"/>
      <c r="D42" s="41">
        <v>4.0</v>
      </c>
      <c r="E42" s="41">
        <v>3.0</v>
      </c>
      <c r="F42" s="41">
        <v>2.0</v>
      </c>
      <c r="G42" s="41">
        <v>1.0</v>
      </c>
      <c r="H42" s="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9" t="s">
        <v>8</v>
      </c>
      <c r="C43" s="35"/>
      <c r="D43" s="35"/>
      <c r="E43" s="35"/>
      <c r="F43" s="35"/>
      <c r="G43" s="17"/>
      <c r="H43" s="42">
        <v>9.0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9" t="s">
        <v>23</v>
      </c>
      <c r="C44" s="35"/>
      <c r="D44" s="35"/>
      <c r="E44" s="35"/>
      <c r="F44" s="35"/>
      <c r="G44" s="17"/>
      <c r="H44" s="4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8" t="s">
        <v>21</v>
      </c>
      <c r="C45" s="22" t="s">
        <v>58</v>
      </c>
      <c r="D45" s="44"/>
      <c r="E45" s="45" t="s">
        <v>59</v>
      </c>
      <c r="F45" s="46"/>
      <c r="G45" s="46"/>
      <c r="H45" s="4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8" t="s">
        <v>25</v>
      </c>
      <c r="C46" s="22" t="s">
        <v>60</v>
      </c>
      <c r="D46" s="44"/>
      <c r="E46" s="45" t="s">
        <v>59</v>
      </c>
      <c r="F46" s="46"/>
      <c r="G46" s="46"/>
      <c r="H46" s="4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8" t="s">
        <v>30</v>
      </c>
      <c r="C47" s="22" t="s">
        <v>61</v>
      </c>
      <c r="D47" s="44"/>
      <c r="E47" s="45" t="s">
        <v>59</v>
      </c>
      <c r="F47" s="46"/>
      <c r="G47" s="46"/>
      <c r="H47" s="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9" t="s">
        <v>9</v>
      </c>
      <c r="C48" s="35"/>
      <c r="D48" s="35"/>
      <c r="E48" s="35"/>
      <c r="F48" s="35"/>
      <c r="G48" s="17"/>
      <c r="H48" s="47">
        <v>20.0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9" t="s">
        <v>62</v>
      </c>
      <c r="C49" s="35"/>
      <c r="D49" s="35"/>
      <c r="E49" s="35"/>
      <c r="F49" s="35"/>
      <c r="G49" s="17"/>
      <c r="H49" s="43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8" t="s">
        <v>34</v>
      </c>
      <c r="C50" s="6" t="s">
        <v>63</v>
      </c>
      <c r="D50" s="48" t="s">
        <v>59</v>
      </c>
      <c r="E50" s="46"/>
      <c r="F50" s="46"/>
      <c r="G50" s="46"/>
      <c r="H50" s="43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9" t="s">
        <v>28</v>
      </c>
      <c r="C51" s="35"/>
      <c r="D51" s="35"/>
      <c r="E51" s="35"/>
      <c r="F51" s="35"/>
      <c r="G51" s="17"/>
      <c r="H51" s="43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8" t="s">
        <v>39</v>
      </c>
      <c r="C52" s="6" t="s">
        <v>64</v>
      </c>
      <c r="D52" s="49" t="s">
        <v>59</v>
      </c>
      <c r="E52" s="46"/>
      <c r="F52" s="46"/>
      <c r="G52" s="46"/>
      <c r="H52" s="43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8" t="s">
        <v>42</v>
      </c>
      <c r="C53" s="6" t="s">
        <v>65</v>
      </c>
      <c r="D53" s="49" t="s">
        <v>59</v>
      </c>
      <c r="E53" s="46"/>
      <c r="F53" s="46"/>
      <c r="G53" s="46"/>
      <c r="H53" s="4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8" t="s">
        <v>66</v>
      </c>
      <c r="C54" s="6" t="s">
        <v>67</v>
      </c>
      <c r="D54" s="49" t="s">
        <v>59</v>
      </c>
      <c r="E54" s="46"/>
      <c r="F54" s="46"/>
      <c r="G54" s="46"/>
      <c r="H54" s="4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8" t="s">
        <v>68</v>
      </c>
      <c r="C55" s="6" t="s">
        <v>69</v>
      </c>
      <c r="D55" s="49" t="s">
        <v>59</v>
      </c>
      <c r="E55" s="46"/>
      <c r="F55" s="46"/>
      <c r="G55" s="46"/>
      <c r="H55" s="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9" t="s">
        <v>10</v>
      </c>
      <c r="C56" s="35"/>
      <c r="D56" s="35"/>
      <c r="E56" s="35"/>
      <c r="F56" s="35"/>
      <c r="G56" s="17"/>
      <c r="H56" s="47">
        <v>8.0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8" t="s">
        <v>70</v>
      </c>
      <c r="C57" s="6" t="s">
        <v>71</v>
      </c>
      <c r="D57" s="49" t="s">
        <v>59</v>
      </c>
      <c r="E57" s="46"/>
      <c r="F57" s="46"/>
      <c r="G57" s="46"/>
      <c r="H57" s="4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8" t="s">
        <v>72</v>
      </c>
      <c r="C58" s="50" t="s">
        <v>73</v>
      </c>
      <c r="D58" s="49" t="s">
        <v>59</v>
      </c>
      <c r="E58" s="46"/>
      <c r="F58" s="46"/>
      <c r="G58" s="46"/>
      <c r="H58" s="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9" t="s">
        <v>11</v>
      </c>
      <c r="C59" s="35"/>
      <c r="D59" s="35"/>
      <c r="E59" s="35"/>
      <c r="F59" s="35"/>
      <c r="G59" s="17"/>
      <c r="H59" s="47">
        <v>11.0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8" t="s">
        <v>74</v>
      </c>
      <c r="C60" s="6" t="s">
        <v>75</v>
      </c>
      <c r="D60" s="49" t="s">
        <v>59</v>
      </c>
      <c r="E60" s="51"/>
      <c r="F60" s="46"/>
      <c r="G60" s="46"/>
      <c r="H60" s="4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8" t="s">
        <v>76</v>
      </c>
      <c r="C61" s="6" t="s">
        <v>77</v>
      </c>
      <c r="D61" s="52" t="s">
        <v>59</v>
      </c>
      <c r="E61" s="49"/>
      <c r="F61" s="46"/>
      <c r="G61" s="46"/>
      <c r="H61" s="4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8" t="s">
        <v>78</v>
      </c>
      <c r="C62" s="6" t="s">
        <v>79</v>
      </c>
      <c r="D62" s="49"/>
      <c r="E62" s="52" t="s">
        <v>59</v>
      </c>
      <c r="F62" s="46"/>
      <c r="G62" s="46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9" t="s">
        <v>12</v>
      </c>
      <c r="C63" s="35"/>
      <c r="D63" s="35"/>
      <c r="E63" s="35"/>
      <c r="F63" s="35"/>
      <c r="G63" s="17"/>
      <c r="H63" s="47">
        <v>3.0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8" t="s">
        <v>80</v>
      </c>
      <c r="C64" s="6" t="s">
        <v>81</v>
      </c>
      <c r="D64" s="46"/>
      <c r="E64" s="48" t="s">
        <v>59</v>
      </c>
      <c r="F64" s="46"/>
      <c r="G64" s="46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9" t="s">
        <v>13</v>
      </c>
      <c r="C65" s="35"/>
      <c r="D65" s="35"/>
      <c r="E65" s="35"/>
      <c r="F65" s="35"/>
      <c r="G65" s="17"/>
      <c r="H65" s="42">
        <v>8.0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8" t="s">
        <v>82</v>
      </c>
      <c r="C66" s="6" t="s">
        <v>83</v>
      </c>
      <c r="D66" s="49" t="s">
        <v>59</v>
      </c>
      <c r="E66" s="46"/>
      <c r="F66" s="46"/>
      <c r="G66" s="46"/>
      <c r="H66" s="43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8" t="s">
        <v>84</v>
      </c>
      <c r="C67" s="6" t="s">
        <v>85</v>
      </c>
      <c r="D67" s="49" t="s">
        <v>59</v>
      </c>
      <c r="E67" s="46"/>
      <c r="F67" s="46"/>
      <c r="G67" s="46"/>
      <c r="H67" s="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53" t="s">
        <v>86</v>
      </c>
      <c r="C68" s="35"/>
      <c r="D68" s="35"/>
      <c r="E68" s="35"/>
      <c r="F68" s="35"/>
      <c r="G68" s="17"/>
      <c r="H68" s="54">
        <f>SUM(H43:H67)</f>
        <v>59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55"/>
      <c r="E69" s="55"/>
      <c r="F69" s="55"/>
      <c r="G69" s="55"/>
      <c r="H69" s="56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27" t="s">
        <v>87</v>
      </c>
      <c r="C70" s="28"/>
      <c r="D70" s="28"/>
      <c r="E70" s="28"/>
      <c r="F70" s="28"/>
      <c r="G70" s="29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30"/>
      <c r="C71" s="31"/>
      <c r="D71" s="31"/>
      <c r="E71" s="31"/>
      <c r="F71" s="31"/>
      <c r="G71" s="3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37" t="s">
        <v>88</v>
      </c>
      <c r="C72" s="35"/>
      <c r="D72" s="35"/>
      <c r="E72" s="35"/>
      <c r="F72" s="35"/>
      <c r="G72" s="1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57" t="s">
        <v>89</v>
      </c>
      <c r="G73" s="5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59"/>
      <c r="G74" s="5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30"/>
      <c r="C75" s="31"/>
      <c r="D75" s="31"/>
      <c r="E75" s="31"/>
      <c r="F75" s="31"/>
      <c r="G75" s="3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60" t="s">
        <v>90</v>
      </c>
      <c r="C77" s="61" t="s">
        <v>91</v>
      </c>
      <c r="D77" s="35"/>
      <c r="E77" s="61" t="s">
        <v>92</v>
      </c>
      <c r="F77" s="35"/>
      <c r="G77" s="1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8">
        <v>1.0</v>
      </c>
      <c r="C78" s="62" t="s">
        <v>93</v>
      </c>
      <c r="D78" s="35"/>
      <c r="E78" s="63" t="s">
        <v>94</v>
      </c>
      <c r="F78" s="35"/>
      <c r="G78" s="1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8">
        <v>2.0</v>
      </c>
      <c r="C79" s="64" t="s">
        <v>95</v>
      </c>
      <c r="D79" s="31"/>
      <c r="E79" s="63" t="s">
        <v>96</v>
      </c>
      <c r="F79" s="35"/>
      <c r="G79" s="1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3">
        <v>3.0</v>
      </c>
      <c r="C80" s="65"/>
      <c r="D80" s="35"/>
      <c r="E80" s="65"/>
      <c r="F80" s="35"/>
      <c r="G80" s="1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3">
        <v>4.0</v>
      </c>
      <c r="C81" s="65"/>
      <c r="D81" s="35"/>
      <c r="E81" s="65"/>
      <c r="F81" s="35"/>
      <c r="G81" s="1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3">
        <v>5.0</v>
      </c>
      <c r="C82" s="65"/>
      <c r="D82" s="35"/>
      <c r="E82" s="65"/>
      <c r="F82" s="35"/>
      <c r="G82" s="1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66" t="s">
        <v>97</v>
      </c>
      <c r="C84" s="17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67" t="s">
        <v>98</v>
      </c>
      <c r="C85" s="28"/>
      <c r="D85" s="28"/>
      <c r="E85" s="28"/>
      <c r="F85" s="28"/>
      <c r="G85" s="29"/>
      <c r="H85" s="55"/>
      <c r="I85" s="55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59"/>
      <c r="G86" s="58"/>
      <c r="H86" s="55"/>
      <c r="I86" s="55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59"/>
      <c r="G87" s="58"/>
      <c r="H87" s="55"/>
      <c r="I87" s="55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59"/>
      <c r="G88" s="58"/>
      <c r="H88" s="55"/>
      <c r="I88" s="55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30"/>
      <c r="C89" s="31"/>
      <c r="D89" s="31"/>
      <c r="E89" s="31"/>
      <c r="F89" s="31"/>
      <c r="G89" s="32"/>
      <c r="H89" s="55"/>
      <c r="I89" s="55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66" t="s">
        <v>99</v>
      </c>
      <c r="C91" s="17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68" t="s">
        <v>100</v>
      </c>
      <c r="C92" s="33" t="s">
        <v>101</v>
      </c>
      <c r="D92" s="35"/>
      <c r="E92" s="35"/>
      <c r="F92" s="35"/>
      <c r="G92" s="1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69"/>
      <c r="C93" s="70" t="s">
        <v>102</v>
      </c>
      <c r="D93" s="35"/>
      <c r="E93" s="35"/>
      <c r="F93" s="35"/>
      <c r="G93" s="1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71" t="s">
        <v>59</v>
      </c>
      <c r="C94" s="70" t="s">
        <v>103</v>
      </c>
      <c r="D94" s="35"/>
      <c r="E94" s="35"/>
      <c r="F94" s="35"/>
      <c r="G94" s="1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69"/>
      <c r="C95" s="70" t="s">
        <v>104</v>
      </c>
      <c r="D95" s="35"/>
      <c r="E95" s="35"/>
      <c r="F95" s="35"/>
      <c r="G95" s="1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72" t="s">
        <v>105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72" t="s">
        <v>106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7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74" t="s">
        <v>107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mergeCells count="77">
    <mergeCell ref="B43:G43"/>
    <mergeCell ref="B44:G44"/>
    <mergeCell ref="D41:G41"/>
    <mergeCell ref="H41:H42"/>
    <mergeCell ref="H43:H47"/>
    <mergeCell ref="B48:G48"/>
    <mergeCell ref="B49:G49"/>
    <mergeCell ref="B51:G51"/>
    <mergeCell ref="B56:G56"/>
    <mergeCell ref="E81:G81"/>
    <mergeCell ref="E82:G82"/>
    <mergeCell ref="C77:D77"/>
    <mergeCell ref="E77:G77"/>
    <mergeCell ref="C78:D78"/>
    <mergeCell ref="E78:G78"/>
    <mergeCell ref="C79:D79"/>
    <mergeCell ref="E79:G79"/>
    <mergeCell ref="E80:G80"/>
    <mergeCell ref="C93:G93"/>
    <mergeCell ref="C94:G94"/>
    <mergeCell ref="C95:G95"/>
    <mergeCell ref="B98:I98"/>
    <mergeCell ref="E100:G101"/>
    <mergeCell ref="E102:G107"/>
    <mergeCell ref="E108:G109"/>
    <mergeCell ref="D113:E113"/>
    <mergeCell ref="C80:D80"/>
    <mergeCell ref="C81:D81"/>
    <mergeCell ref="C82:D82"/>
    <mergeCell ref="B84:C84"/>
    <mergeCell ref="B85:G89"/>
    <mergeCell ref="B91:C91"/>
    <mergeCell ref="C92:G92"/>
    <mergeCell ref="B7:B8"/>
    <mergeCell ref="B9:B10"/>
    <mergeCell ref="C9:C10"/>
    <mergeCell ref="B11:B12"/>
    <mergeCell ref="C11:C12"/>
    <mergeCell ref="B14:B15"/>
    <mergeCell ref="C14:C15"/>
    <mergeCell ref="G7:G8"/>
    <mergeCell ref="G9:G10"/>
    <mergeCell ref="G11:G12"/>
    <mergeCell ref="G14:G15"/>
    <mergeCell ref="B3:G4"/>
    <mergeCell ref="D5:E5"/>
    <mergeCell ref="D6:E6"/>
    <mergeCell ref="C7:C8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B23:G24"/>
    <mergeCell ref="B25:C25"/>
    <mergeCell ref="D25:G25"/>
    <mergeCell ref="B26:C26"/>
    <mergeCell ref="D26:G26"/>
    <mergeCell ref="B28:G39"/>
    <mergeCell ref="B41:B42"/>
    <mergeCell ref="C41:C42"/>
    <mergeCell ref="H48:H55"/>
    <mergeCell ref="H56:H58"/>
    <mergeCell ref="H59:H62"/>
    <mergeCell ref="H63:H64"/>
    <mergeCell ref="H65:H67"/>
    <mergeCell ref="B59:G59"/>
    <mergeCell ref="B63:G63"/>
    <mergeCell ref="B65:G65"/>
    <mergeCell ref="B68:G68"/>
    <mergeCell ref="B70:G71"/>
    <mergeCell ref="B72:G72"/>
    <mergeCell ref="B73:G7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75"/>
  </cols>
  <sheetData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4" t="s">
        <v>15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5" t="s">
        <v>16</v>
      </c>
      <c r="C5" s="15" t="s">
        <v>17</v>
      </c>
      <c r="D5" s="16" t="s">
        <v>18</v>
      </c>
      <c r="E5" s="17"/>
      <c r="F5" s="15" t="s">
        <v>19</v>
      </c>
      <c r="G5" s="15" t="s">
        <v>20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8" t="s">
        <v>21</v>
      </c>
      <c r="C6" s="6" t="s">
        <v>22</v>
      </c>
      <c r="D6" s="19" t="s">
        <v>23</v>
      </c>
      <c r="E6" s="17"/>
      <c r="F6" s="18" t="s">
        <v>24</v>
      </c>
      <c r="G6" s="18">
        <v>3.0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0" t="s">
        <v>25</v>
      </c>
      <c r="C7" s="21" t="s">
        <v>26</v>
      </c>
      <c r="D7" s="19" t="s">
        <v>27</v>
      </c>
      <c r="E7" s="17"/>
      <c r="F7" s="18">
        <v>4.0</v>
      </c>
      <c r="G7" s="20">
        <v>5.0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4"/>
      <c r="C8" s="4"/>
      <c r="D8" s="19" t="s">
        <v>28</v>
      </c>
      <c r="E8" s="17"/>
      <c r="F8" s="18" t="s">
        <v>29</v>
      </c>
      <c r="G8" s="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0" t="s">
        <v>30</v>
      </c>
      <c r="C9" s="21" t="s">
        <v>31</v>
      </c>
      <c r="D9" s="19" t="s">
        <v>32</v>
      </c>
      <c r="E9" s="17"/>
      <c r="F9" s="18">
        <v>9.0</v>
      </c>
      <c r="G9" s="20">
        <v>2.0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4"/>
      <c r="C10" s="4"/>
      <c r="D10" s="19" t="s">
        <v>33</v>
      </c>
      <c r="E10" s="17"/>
      <c r="F10" s="18">
        <v>10.0</v>
      </c>
      <c r="G10" s="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0" t="s">
        <v>34</v>
      </c>
      <c r="C11" s="21" t="s">
        <v>35</v>
      </c>
      <c r="D11" s="19" t="s">
        <v>36</v>
      </c>
      <c r="E11" s="17"/>
      <c r="F11" s="18" t="s">
        <v>37</v>
      </c>
      <c r="G11" s="20">
        <v>3.0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4"/>
      <c r="C12" s="4"/>
      <c r="D12" s="19" t="s">
        <v>38</v>
      </c>
      <c r="E12" s="17"/>
      <c r="F12" s="18">
        <v>13.0</v>
      </c>
      <c r="G12" s="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8" t="s">
        <v>39</v>
      </c>
      <c r="C13" s="22" t="s">
        <v>40</v>
      </c>
      <c r="D13" s="19" t="s">
        <v>41</v>
      </c>
      <c r="E13" s="17"/>
      <c r="F13" s="18">
        <v>14.0</v>
      </c>
      <c r="G13" s="18">
        <v>1.0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3" t="s">
        <v>42</v>
      </c>
      <c r="C14" s="21" t="s">
        <v>43</v>
      </c>
      <c r="D14" s="19" t="s">
        <v>44</v>
      </c>
      <c r="E14" s="17"/>
      <c r="F14" s="18">
        <v>15.0</v>
      </c>
      <c r="G14" s="20">
        <v>2.0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4"/>
      <c r="C15" s="4"/>
      <c r="D15" s="19" t="s">
        <v>45</v>
      </c>
      <c r="E15" s="17"/>
      <c r="F15" s="18">
        <v>16.0</v>
      </c>
      <c r="G15" s="4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4" t="s">
        <v>46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5" t="s">
        <v>47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6" t="s">
        <v>48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6" t="s">
        <v>49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7" t="s">
        <v>50</v>
      </c>
      <c r="C23" s="28"/>
      <c r="D23" s="28"/>
      <c r="E23" s="28"/>
      <c r="F23" s="28"/>
      <c r="G23" s="2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30"/>
      <c r="C24" s="31"/>
      <c r="D24" s="31"/>
      <c r="E24" s="31"/>
      <c r="F24" s="31"/>
      <c r="G24" s="3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33" t="s">
        <v>51</v>
      </c>
      <c r="C25" s="17"/>
      <c r="D25" s="34" t="s">
        <v>52</v>
      </c>
      <c r="E25" s="35"/>
      <c r="F25" s="35"/>
      <c r="G25" s="1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36" t="s">
        <v>53</v>
      </c>
      <c r="C26" s="17"/>
      <c r="D26" s="37" t="s">
        <v>108</v>
      </c>
      <c r="E26" s="35"/>
      <c r="F26" s="35"/>
      <c r="G26" s="1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38" t="s">
        <v>109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39" t="s">
        <v>16</v>
      </c>
      <c r="C41" s="39" t="s">
        <v>56</v>
      </c>
      <c r="D41" s="40" t="s">
        <v>57</v>
      </c>
      <c r="E41" s="35"/>
      <c r="F41" s="35"/>
      <c r="G41" s="17"/>
      <c r="H41" s="2" t="s">
        <v>14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4"/>
      <c r="C42" s="4"/>
      <c r="D42" s="41">
        <v>4.0</v>
      </c>
      <c r="E42" s="41">
        <v>3.0</v>
      </c>
      <c r="F42" s="41">
        <v>2.0</v>
      </c>
      <c r="G42" s="41">
        <v>1.0</v>
      </c>
      <c r="H42" s="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9" t="s">
        <v>8</v>
      </c>
      <c r="C43" s="35"/>
      <c r="D43" s="35"/>
      <c r="E43" s="35"/>
      <c r="F43" s="35"/>
      <c r="G43" s="17"/>
      <c r="H43" s="42">
        <v>11.0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9" t="s">
        <v>23</v>
      </c>
      <c r="C44" s="35"/>
      <c r="D44" s="35"/>
      <c r="E44" s="35"/>
      <c r="F44" s="35"/>
      <c r="G44" s="17"/>
      <c r="H44" s="4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8" t="s">
        <v>21</v>
      </c>
      <c r="C45" s="22" t="s">
        <v>58</v>
      </c>
      <c r="D45" s="44"/>
      <c r="E45" s="45" t="s">
        <v>59</v>
      </c>
      <c r="F45" s="46"/>
      <c r="G45" s="46"/>
      <c r="H45" s="4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8" t="s">
        <v>25</v>
      </c>
      <c r="C46" s="22" t="s">
        <v>60</v>
      </c>
      <c r="D46" s="45" t="s">
        <v>59</v>
      </c>
      <c r="E46" s="45"/>
      <c r="F46" s="46"/>
      <c r="G46" s="46"/>
      <c r="H46" s="4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8" t="s">
        <v>30</v>
      </c>
      <c r="C47" s="22" t="s">
        <v>61</v>
      </c>
      <c r="D47" s="52" t="s">
        <v>59</v>
      </c>
      <c r="E47" s="45"/>
      <c r="F47" s="46"/>
      <c r="G47" s="46"/>
      <c r="H47" s="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9" t="s">
        <v>9</v>
      </c>
      <c r="C48" s="35"/>
      <c r="D48" s="35"/>
      <c r="E48" s="35"/>
      <c r="F48" s="35"/>
      <c r="G48" s="17"/>
      <c r="H48" s="47">
        <v>20.0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9" t="s">
        <v>62</v>
      </c>
      <c r="C49" s="35"/>
      <c r="D49" s="35"/>
      <c r="E49" s="35"/>
      <c r="F49" s="35"/>
      <c r="G49" s="17"/>
      <c r="H49" s="43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8" t="s">
        <v>34</v>
      </c>
      <c r="C50" s="6" t="s">
        <v>63</v>
      </c>
      <c r="D50" s="48" t="s">
        <v>59</v>
      </c>
      <c r="E50" s="46"/>
      <c r="F50" s="46"/>
      <c r="G50" s="46"/>
      <c r="H50" s="43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9" t="s">
        <v>28</v>
      </c>
      <c r="C51" s="35"/>
      <c r="D51" s="35"/>
      <c r="E51" s="35"/>
      <c r="F51" s="35"/>
      <c r="G51" s="17"/>
      <c r="H51" s="43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8" t="s">
        <v>39</v>
      </c>
      <c r="C52" s="6" t="s">
        <v>64</v>
      </c>
      <c r="D52" s="49" t="s">
        <v>59</v>
      </c>
      <c r="E52" s="46"/>
      <c r="F52" s="46"/>
      <c r="G52" s="46"/>
      <c r="H52" s="43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8" t="s">
        <v>42</v>
      </c>
      <c r="C53" s="6" t="s">
        <v>65</v>
      </c>
      <c r="D53" s="49" t="s">
        <v>59</v>
      </c>
      <c r="E53" s="46"/>
      <c r="F53" s="46"/>
      <c r="G53" s="46"/>
      <c r="H53" s="4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8" t="s">
        <v>66</v>
      </c>
      <c r="C54" s="6" t="s">
        <v>67</v>
      </c>
      <c r="D54" s="49" t="s">
        <v>59</v>
      </c>
      <c r="E54" s="46"/>
      <c r="F54" s="46"/>
      <c r="G54" s="46"/>
      <c r="H54" s="4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8" t="s">
        <v>68</v>
      </c>
      <c r="C55" s="6" t="s">
        <v>69</v>
      </c>
      <c r="D55" s="49" t="s">
        <v>59</v>
      </c>
      <c r="E55" s="46"/>
      <c r="F55" s="46"/>
      <c r="G55" s="46"/>
      <c r="H55" s="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9" t="s">
        <v>10</v>
      </c>
      <c r="C56" s="35"/>
      <c r="D56" s="35"/>
      <c r="E56" s="35"/>
      <c r="F56" s="35"/>
      <c r="G56" s="17"/>
      <c r="H56" s="47">
        <v>8.0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8" t="s">
        <v>70</v>
      </c>
      <c r="C57" s="6" t="s">
        <v>71</v>
      </c>
      <c r="D57" s="49" t="s">
        <v>59</v>
      </c>
      <c r="E57" s="46"/>
      <c r="F57" s="46"/>
      <c r="G57" s="46"/>
      <c r="H57" s="4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8" t="s">
        <v>72</v>
      </c>
      <c r="C58" s="50" t="s">
        <v>73</v>
      </c>
      <c r="D58" s="49" t="s">
        <v>59</v>
      </c>
      <c r="E58" s="46"/>
      <c r="F58" s="46"/>
      <c r="G58" s="46"/>
      <c r="H58" s="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9" t="s">
        <v>11</v>
      </c>
      <c r="C59" s="35"/>
      <c r="D59" s="35"/>
      <c r="E59" s="35"/>
      <c r="F59" s="35"/>
      <c r="G59" s="17"/>
      <c r="H59" s="42">
        <v>12.0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8" t="s">
        <v>74</v>
      </c>
      <c r="C60" s="6" t="s">
        <v>75</v>
      </c>
      <c r="D60" s="49" t="s">
        <v>59</v>
      </c>
      <c r="E60" s="51"/>
      <c r="F60" s="46"/>
      <c r="G60" s="46"/>
      <c r="H60" s="4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8" t="s">
        <v>76</v>
      </c>
      <c r="C61" s="6" t="s">
        <v>77</v>
      </c>
      <c r="D61" s="52" t="s">
        <v>59</v>
      </c>
      <c r="E61" s="49"/>
      <c r="F61" s="46"/>
      <c r="G61" s="46"/>
      <c r="H61" s="4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8" t="s">
        <v>78</v>
      </c>
      <c r="C62" s="6" t="s">
        <v>79</v>
      </c>
      <c r="D62" s="45" t="s">
        <v>59</v>
      </c>
      <c r="E62" s="52"/>
      <c r="F62" s="46"/>
      <c r="G62" s="46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9" t="s">
        <v>12</v>
      </c>
      <c r="C63" s="35"/>
      <c r="D63" s="35"/>
      <c r="E63" s="35"/>
      <c r="F63" s="35"/>
      <c r="G63" s="17"/>
      <c r="H63" s="42">
        <v>4.0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8" t="s">
        <v>80</v>
      </c>
      <c r="C64" s="6" t="s">
        <v>81</v>
      </c>
      <c r="D64" s="45" t="s">
        <v>59</v>
      </c>
      <c r="E64" s="48"/>
      <c r="F64" s="46"/>
      <c r="G64" s="46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9" t="s">
        <v>13</v>
      </c>
      <c r="C65" s="35"/>
      <c r="D65" s="35"/>
      <c r="E65" s="35"/>
      <c r="F65" s="35"/>
      <c r="G65" s="17"/>
      <c r="H65" s="42">
        <v>8.0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8" t="s">
        <v>82</v>
      </c>
      <c r="C66" s="6" t="s">
        <v>83</v>
      </c>
      <c r="D66" s="49" t="s">
        <v>59</v>
      </c>
      <c r="E66" s="46"/>
      <c r="F66" s="46"/>
      <c r="G66" s="46"/>
      <c r="H66" s="43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8" t="s">
        <v>84</v>
      </c>
      <c r="C67" s="6" t="s">
        <v>85</v>
      </c>
      <c r="D67" s="49" t="s">
        <v>59</v>
      </c>
      <c r="E67" s="46"/>
      <c r="F67" s="46"/>
      <c r="G67" s="46"/>
      <c r="H67" s="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53" t="s">
        <v>86</v>
      </c>
      <c r="C68" s="35"/>
      <c r="D68" s="35"/>
      <c r="E68" s="35"/>
      <c r="F68" s="35"/>
      <c r="G68" s="17"/>
      <c r="H68" s="54">
        <f>SUM(H43:H67)</f>
        <v>63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55"/>
      <c r="E69" s="55"/>
      <c r="F69" s="55"/>
      <c r="G69" s="55"/>
      <c r="H69" s="56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27" t="s">
        <v>87</v>
      </c>
      <c r="C70" s="28"/>
      <c r="D70" s="28"/>
      <c r="E70" s="28"/>
      <c r="F70" s="28"/>
      <c r="G70" s="29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30"/>
      <c r="C71" s="31"/>
      <c r="D71" s="31"/>
      <c r="E71" s="31"/>
      <c r="F71" s="31"/>
      <c r="G71" s="3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37" t="s">
        <v>88</v>
      </c>
      <c r="C72" s="35"/>
      <c r="D72" s="35"/>
      <c r="E72" s="35"/>
      <c r="F72" s="35"/>
      <c r="G72" s="1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57" t="s">
        <v>89</v>
      </c>
      <c r="G73" s="5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59"/>
      <c r="G74" s="5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30"/>
      <c r="C75" s="31"/>
      <c r="D75" s="31"/>
      <c r="E75" s="31"/>
      <c r="F75" s="31"/>
      <c r="G75" s="3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60" t="s">
        <v>90</v>
      </c>
      <c r="C77" s="61" t="s">
        <v>91</v>
      </c>
      <c r="D77" s="35"/>
      <c r="E77" s="61" t="s">
        <v>92</v>
      </c>
      <c r="F77" s="35"/>
      <c r="G77" s="1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8">
        <v>1.0</v>
      </c>
      <c r="C78" s="62" t="s">
        <v>110</v>
      </c>
      <c r="D78" s="35"/>
      <c r="E78" s="63" t="s">
        <v>111</v>
      </c>
      <c r="F78" s="35"/>
      <c r="G78" s="1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8">
        <v>2.0</v>
      </c>
      <c r="C79" s="64"/>
      <c r="D79" s="31"/>
      <c r="E79" s="63"/>
      <c r="F79" s="35"/>
      <c r="G79" s="1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3">
        <v>3.0</v>
      </c>
      <c r="C80" s="65"/>
      <c r="D80" s="35"/>
      <c r="E80" s="65"/>
      <c r="F80" s="35"/>
      <c r="G80" s="1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3">
        <v>4.0</v>
      </c>
      <c r="C81" s="65"/>
      <c r="D81" s="35"/>
      <c r="E81" s="65"/>
      <c r="F81" s="35"/>
      <c r="G81" s="1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3">
        <v>5.0</v>
      </c>
      <c r="C82" s="65"/>
      <c r="D82" s="35"/>
      <c r="E82" s="65"/>
      <c r="F82" s="35"/>
      <c r="G82" s="1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66" t="s">
        <v>97</v>
      </c>
      <c r="C84" s="17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67" t="s">
        <v>112</v>
      </c>
      <c r="C85" s="28"/>
      <c r="D85" s="28"/>
      <c r="E85" s="28"/>
      <c r="F85" s="28"/>
      <c r="G85" s="29"/>
      <c r="H85" s="55"/>
      <c r="I85" s="55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59"/>
      <c r="G86" s="58"/>
      <c r="H86" s="55"/>
      <c r="I86" s="55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59"/>
      <c r="G87" s="58"/>
      <c r="H87" s="55"/>
      <c r="I87" s="55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59"/>
      <c r="G88" s="58"/>
      <c r="H88" s="55"/>
      <c r="I88" s="55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30"/>
      <c r="C89" s="31"/>
      <c r="D89" s="31"/>
      <c r="E89" s="31"/>
      <c r="F89" s="31"/>
      <c r="G89" s="32"/>
      <c r="H89" s="55"/>
      <c r="I89" s="55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66" t="s">
        <v>99</v>
      </c>
      <c r="C91" s="17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68" t="s">
        <v>100</v>
      </c>
      <c r="C92" s="33" t="s">
        <v>101</v>
      </c>
      <c r="D92" s="35"/>
      <c r="E92" s="35"/>
      <c r="F92" s="35"/>
      <c r="G92" s="1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69"/>
      <c r="C93" s="70" t="s">
        <v>102</v>
      </c>
      <c r="D93" s="35"/>
      <c r="E93" s="35"/>
      <c r="F93" s="35"/>
      <c r="G93" s="1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71" t="s">
        <v>59</v>
      </c>
      <c r="C94" s="70" t="s">
        <v>103</v>
      </c>
      <c r="D94" s="35"/>
      <c r="E94" s="35"/>
      <c r="F94" s="35"/>
      <c r="G94" s="1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69"/>
      <c r="C95" s="70" t="s">
        <v>104</v>
      </c>
      <c r="D95" s="35"/>
      <c r="E95" s="35"/>
      <c r="F95" s="35"/>
      <c r="G95" s="1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72" t="s">
        <v>105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72" t="s">
        <v>113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75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74" t="s">
        <v>108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mergeCells count="77">
    <mergeCell ref="B43:G43"/>
    <mergeCell ref="B44:G44"/>
    <mergeCell ref="D41:G41"/>
    <mergeCell ref="H41:H42"/>
    <mergeCell ref="H43:H47"/>
    <mergeCell ref="B48:G48"/>
    <mergeCell ref="B49:G49"/>
    <mergeCell ref="B51:G51"/>
    <mergeCell ref="B56:G56"/>
    <mergeCell ref="E81:G81"/>
    <mergeCell ref="E82:G82"/>
    <mergeCell ref="C77:D77"/>
    <mergeCell ref="E77:G77"/>
    <mergeCell ref="C78:D78"/>
    <mergeCell ref="E78:G78"/>
    <mergeCell ref="C79:D79"/>
    <mergeCell ref="E79:G79"/>
    <mergeCell ref="E80:G80"/>
    <mergeCell ref="C93:G93"/>
    <mergeCell ref="C94:G94"/>
    <mergeCell ref="C95:G95"/>
    <mergeCell ref="B98:I98"/>
    <mergeCell ref="E100:G101"/>
    <mergeCell ref="E102:G107"/>
    <mergeCell ref="E108:G109"/>
    <mergeCell ref="D113:E113"/>
    <mergeCell ref="C80:D80"/>
    <mergeCell ref="C81:D81"/>
    <mergeCell ref="C82:D82"/>
    <mergeCell ref="B84:C84"/>
    <mergeCell ref="B85:G89"/>
    <mergeCell ref="B91:C91"/>
    <mergeCell ref="C92:G92"/>
    <mergeCell ref="B7:B8"/>
    <mergeCell ref="B9:B10"/>
    <mergeCell ref="C9:C10"/>
    <mergeCell ref="B11:B12"/>
    <mergeCell ref="C11:C12"/>
    <mergeCell ref="B14:B15"/>
    <mergeCell ref="C14:C15"/>
    <mergeCell ref="G7:G8"/>
    <mergeCell ref="G9:G10"/>
    <mergeCell ref="G11:G12"/>
    <mergeCell ref="G14:G15"/>
    <mergeCell ref="B3:G4"/>
    <mergeCell ref="D5:E5"/>
    <mergeCell ref="D6:E6"/>
    <mergeCell ref="C7:C8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B23:G24"/>
    <mergeCell ref="B25:C25"/>
    <mergeCell ref="D25:G25"/>
    <mergeCell ref="B26:C26"/>
    <mergeCell ref="D26:G26"/>
    <mergeCell ref="B28:G39"/>
    <mergeCell ref="B41:B42"/>
    <mergeCell ref="C41:C42"/>
    <mergeCell ref="H48:H55"/>
    <mergeCell ref="H56:H58"/>
    <mergeCell ref="H59:H62"/>
    <mergeCell ref="H63:H64"/>
    <mergeCell ref="H65:H67"/>
    <mergeCell ref="B59:G59"/>
    <mergeCell ref="B63:G63"/>
    <mergeCell ref="B65:G65"/>
    <mergeCell ref="B68:G68"/>
    <mergeCell ref="B70:G71"/>
    <mergeCell ref="B72:G72"/>
    <mergeCell ref="B73:G7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8.25"/>
    <col customWidth="1" min="5" max="5" width="19.75"/>
    <col customWidth="1" min="6" max="6" width="16.5"/>
  </cols>
  <sheetData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4" t="s">
        <v>15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5" t="s">
        <v>16</v>
      </c>
      <c r="C5" s="15" t="s">
        <v>17</v>
      </c>
      <c r="D5" s="16" t="s">
        <v>18</v>
      </c>
      <c r="E5" s="17"/>
      <c r="F5" s="76" t="s">
        <v>19</v>
      </c>
      <c r="G5" s="15" t="s">
        <v>20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8" t="s">
        <v>21</v>
      </c>
      <c r="C6" s="6" t="s">
        <v>22</v>
      </c>
      <c r="D6" s="19" t="s">
        <v>23</v>
      </c>
      <c r="E6" s="17"/>
      <c r="F6" s="18" t="s">
        <v>24</v>
      </c>
      <c r="G6" s="18">
        <v>3.0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0" t="s">
        <v>25</v>
      </c>
      <c r="C7" s="21" t="s">
        <v>26</v>
      </c>
      <c r="D7" s="19" t="s">
        <v>27</v>
      </c>
      <c r="E7" s="17"/>
      <c r="F7" s="18">
        <v>4.0</v>
      </c>
      <c r="G7" s="20">
        <v>5.0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4"/>
      <c r="C8" s="4"/>
      <c r="D8" s="19" t="s">
        <v>28</v>
      </c>
      <c r="E8" s="17"/>
      <c r="F8" s="18" t="s">
        <v>29</v>
      </c>
      <c r="G8" s="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0" t="s">
        <v>30</v>
      </c>
      <c r="C9" s="21" t="s">
        <v>31</v>
      </c>
      <c r="D9" s="19" t="s">
        <v>32</v>
      </c>
      <c r="E9" s="17"/>
      <c r="F9" s="18">
        <v>9.0</v>
      </c>
      <c r="G9" s="20">
        <v>2.0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4"/>
      <c r="C10" s="4"/>
      <c r="D10" s="19" t="s">
        <v>33</v>
      </c>
      <c r="E10" s="17"/>
      <c r="F10" s="18">
        <v>10.0</v>
      </c>
      <c r="G10" s="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0" t="s">
        <v>34</v>
      </c>
      <c r="C11" s="21" t="s">
        <v>35</v>
      </c>
      <c r="D11" s="19" t="s">
        <v>36</v>
      </c>
      <c r="E11" s="17"/>
      <c r="F11" s="18" t="s">
        <v>37</v>
      </c>
      <c r="G11" s="20">
        <v>3.0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4"/>
      <c r="C12" s="4"/>
      <c r="D12" s="19" t="s">
        <v>38</v>
      </c>
      <c r="E12" s="17"/>
      <c r="F12" s="18">
        <v>13.0</v>
      </c>
      <c r="G12" s="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8" t="s">
        <v>39</v>
      </c>
      <c r="C13" s="22" t="s">
        <v>40</v>
      </c>
      <c r="D13" s="19" t="s">
        <v>41</v>
      </c>
      <c r="E13" s="17"/>
      <c r="F13" s="18">
        <v>14.0</v>
      </c>
      <c r="G13" s="18">
        <v>1.0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3" t="s">
        <v>42</v>
      </c>
      <c r="C14" s="21" t="s">
        <v>43</v>
      </c>
      <c r="D14" s="19" t="s">
        <v>44</v>
      </c>
      <c r="E14" s="17"/>
      <c r="F14" s="18">
        <v>15.0</v>
      </c>
      <c r="G14" s="20">
        <v>2.0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4"/>
      <c r="C15" s="4"/>
      <c r="D15" s="19" t="s">
        <v>45</v>
      </c>
      <c r="E15" s="17"/>
      <c r="F15" s="18">
        <v>16.0</v>
      </c>
      <c r="G15" s="4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4" t="s">
        <v>46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5" t="s">
        <v>47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6" t="s">
        <v>48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6" t="s">
        <v>49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7" t="s">
        <v>50</v>
      </c>
      <c r="C23" s="28"/>
      <c r="D23" s="28"/>
      <c r="E23" s="28"/>
      <c r="F23" s="28"/>
      <c r="G23" s="2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30"/>
      <c r="C24" s="31"/>
      <c r="D24" s="31"/>
      <c r="E24" s="31"/>
      <c r="F24" s="31"/>
      <c r="G24" s="3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33" t="s">
        <v>51</v>
      </c>
      <c r="C25" s="17"/>
      <c r="D25" s="34" t="s">
        <v>52</v>
      </c>
      <c r="E25" s="35"/>
      <c r="F25" s="35"/>
      <c r="G25" s="1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36" t="s">
        <v>53</v>
      </c>
      <c r="C26" s="17"/>
      <c r="D26" s="37" t="s">
        <v>114</v>
      </c>
      <c r="E26" s="35"/>
      <c r="F26" s="35"/>
      <c r="G26" s="1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38" t="s">
        <v>115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39" t="s">
        <v>16</v>
      </c>
      <c r="C41" s="39" t="s">
        <v>56</v>
      </c>
      <c r="D41" s="40" t="s">
        <v>57</v>
      </c>
      <c r="E41" s="35"/>
      <c r="F41" s="35"/>
      <c r="G41" s="17"/>
      <c r="H41" s="2" t="s">
        <v>14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4"/>
      <c r="C42" s="4"/>
      <c r="D42" s="41">
        <v>4.0</v>
      </c>
      <c r="E42" s="41">
        <v>3.0</v>
      </c>
      <c r="F42" s="41">
        <v>2.0</v>
      </c>
      <c r="G42" s="41">
        <v>1.0</v>
      </c>
      <c r="H42" s="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9" t="s">
        <v>8</v>
      </c>
      <c r="C43" s="35"/>
      <c r="D43" s="35"/>
      <c r="E43" s="35"/>
      <c r="F43" s="35"/>
      <c r="G43" s="17"/>
      <c r="H43" s="42">
        <v>11.0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9" t="s">
        <v>23</v>
      </c>
      <c r="C44" s="35"/>
      <c r="D44" s="35"/>
      <c r="E44" s="35"/>
      <c r="F44" s="35"/>
      <c r="G44" s="17"/>
      <c r="H44" s="4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8" t="s">
        <v>21</v>
      </c>
      <c r="C45" s="22" t="s">
        <v>58</v>
      </c>
      <c r="D45" s="77" t="s">
        <v>59</v>
      </c>
      <c r="E45" s="45"/>
      <c r="F45" s="46"/>
      <c r="G45" s="46"/>
      <c r="H45" s="4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8" t="s">
        <v>25</v>
      </c>
      <c r="C46" s="22" t="s">
        <v>60</v>
      </c>
      <c r="D46" s="45" t="s">
        <v>59</v>
      </c>
      <c r="E46" s="45"/>
      <c r="F46" s="46"/>
      <c r="G46" s="46"/>
      <c r="H46" s="4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8" t="s">
        <v>30</v>
      </c>
      <c r="C47" s="22" t="s">
        <v>61</v>
      </c>
      <c r="D47" s="52"/>
      <c r="E47" s="45" t="s">
        <v>59</v>
      </c>
      <c r="F47" s="46"/>
      <c r="G47" s="46"/>
      <c r="H47" s="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9" t="s">
        <v>9</v>
      </c>
      <c r="C48" s="35"/>
      <c r="D48" s="35"/>
      <c r="E48" s="35"/>
      <c r="F48" s="35"/>
      <c r="G48" s="17"/>
      <c r="H48" s="42">
        <v>18.0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9" t="s">
        <v>62</v>
      </c>
      <c r="C49" s="35"/>
      <c r="D49" s="35"/>
      <c r="E49" s="35"/>
      <c r="F49" s="35"/>
      <c r="G49" s="17"/>
      <c r="H49" s="43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8" t="s">
        <v>34</v>
      </c>
      <c r="C50" s="6" t="s">
        <v>63</v>
      </c>
      <c r="D50" s="48"/>
      <c r="E50" s="45" t="s">
        <v>59</v>
      </c>
      <c r="F50" s="46"/>
      <c r="G50" s="46"/>
      <c r="H50" s="43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9" t="s">
        <v>28</v>
      </c>
      <c r="C51" s="35"/>
      <c r="D51" s="35"/>
      <c r="E51" s="35"/>
      <c r="F51" s="35"/>
      <c r="G51" s="17"/>
      <c r="H51" s="43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8" t="s">
        <v>39</v>
      </c>
      <c r="C52" s="6" t="s">
        <v>64</v>
      </c>
      <c r="D52" s="49" t="s">
        <v>59</v>
      </c>
      <c r="E52" s="46"/>
      <c r="F52" s="46"/>
      <c r="G52" s="46"/>
      <c r="H52" s="43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8" t="s">
        <v>42</v>
      </c>
      <c r="C53" s="6" t="s">
        <v>65</v>
      </c>
      <c r="D53" s="49" t="s">
        <v>59</v>
      </c>
      <c r="E53" s="46"/>
      <c r="F53" s="46"/>
      <c r="G53" s="46"/>
      <c r="H53" s="4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8" t="s">
        <v>66</v>
      </c>
      <c r="C54" s="6" t="s">
        <v>67</v>
      </c>
      <c r="D54" s="49"/>
      <c r="E54" s="52" t="s">
        <v>59</v>
      </c>
      <c r="F54" s="46"/>
      <c r="G54" s="46"/>
      <c r="H54" s="4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8" t="s">
        <v>68</v>
      </c>
      <c r="C55" s="6" t="s">
        <v>69</v>
      </c>
      <c r="D55" s="49" t="s">
        <v>59</v>
      </c>
      <c r="E55" s="46"/>
      <c r="F55" s="46"/>
      <c r="G55" s="46"/>
      <c r="H55" s="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9" t="s">
        <v>10</v>
      </c>
      <c r="C56" s="35"/>
      <c r="D56" s="35"/>
      <c r="E56" s="35"/>
      <c r="F56" s="35"/>
      <c r="G56" s="17"/>
      <c r="H56" s="47">
        <v>8.0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8" t="s">
        <v>70</v>
      </c>
      <c r="C57" s="6" t="s">
        <v>71</v>
      </c>
      <c r="D57" s="49" t="s">
        <v>59</v>
      </c>
      <c r="E57" s="46"/>
      <c r="F57" s="46"/>
      <c r="G57" s="46"/>
      <c r="H57" s="4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8" t="s">
        <v>72</v>
      </c>
      <c r="C58" s="50" t="s">
        <v>73</v>
      </c>
      <c r="D58" s="49" t="s">
        <v>59</v>
      </c>
      <c r="E58" s="46"/>
      <c r="F58" s="46"/>
      <c r="G58" s="46"/>
      <c r="H58" s="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9" t="s">
        <v>11</v>
      </c>
      <c r="C59" s="35"/>
      <c r="D59" s="35"/>
      <c r="E59" s="35"/>
      <c r="F59" s="35"/>
      <c r="G59" s="17"/>
      <c r="H59" s="42">
        <v>11.0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8" t="s">
        <v>74</v>
      </c>
      <c r="C60" s="6" t="s">
        <v>75</v>
      </c>
      <c r="D60" s="49" t="s">
        <v>59</v>
      </c>
      <c r="E60" s="51"/>
      <c r="F60" s="46"/>
      <c r="G60" s="46"/>
      <c r="H60" s="4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8" t="s">
        <v>76</v>
      </c>
      <c r="C61" s="6" t="s">
        <v>77</v>
      </c>
      <c r="D61" s="52"/>
      <c r="E61" s="45" t="s">
        <v>59</v>
      </c>
      <c r="F61" s="46"/>
      <c r="G61" s="46"/>
      <c r="H61" s="4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8" t="s">
        <v>78</v>
      </c>
      <c r="C62" s="6" t="s">
        <v>79</v>
      </c>
      <c r="D62" s="45" t="s">
        <v>59</v>
      </c>
      <c r="E62" s="52"/>
      <c r="F62" s="46"/>
      <c r="G62" s="46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9" t="s">
        <v>12</v>
      </c>
      <c r="C63" s="35"/>
      <c r="D63" s="35"/>
      <c r="E63" s="35"/>
      <c r="F63" s="35"/>
      <c r="G63" s="17"/>
      <c r="H63" s="42">
        <v>4.0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8" t="s">
        <v>80</v>
      </c>
      <c r="C64" s="6" t="s">
        <v>81</v>
      </c>
      <c r="D64" s="45" t="s">
        <v>59</v>
      </c>
      <c r="E64" s="48"/>
      <c r="F64" s="46"/>
      <c r="G64" s="46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9" t="s">
        <v>13</v>
      </c>
      <c r="C65" s="35"/>
      <c r="D65" s="35"/>
      <c r="E65" s="35"/>
      <c r="F65" s="35"/>
      <c r="G65" s="17"/>
      <c r="H65" s="42">
        <v>7.0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8" t="s">
        <v>82</v>
      </c>
      <c r="C66" s="6" t="s">
        <v>83</v>
      </c>
      <c r="D66" s="49" t="s">
        <v>59</v>
      </c>
      <c r="E66" s="46"/>
      <c r="F66" s="46"/>
      <c r="G66" s="46"/>
      <c r="H66" s="43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8" t="s">
        <v>84</v>
      </c>
      <c r="C67" s="6" t="s">
        <v>85</v>
      </c>
      <c r="D67" s="49"/>
      <c r="E67" s="52" t="s">
        <v>59</v>
      </c>
      <c r="F67" s="46"/>
      <c r="G67" s="46"/>
      <c r="H67" s="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53" t="s">
        <v>86</v>
      </c>
      <c r="C68" s="35"/>
      <c r="D68" s="35"/>
      <c r="E68" s="35"/>
      <c r="F68" s="35"/>
      <c r="G68" s="17"/>
      <c r="H68" s="54">
        <f>SUM(H43:H67)</f>
        <v>59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55"/>
      <c r="E69" s="55"/>
      <c r="F69" s="55"/>
      <c r="G69" s="55"/>
      <c r="H69" s="56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27" t="s">
        <v>87</v>
      </c>
      <c r="C70" s="28"/>
      <c r="D70" s="28"/>
      <c r="E70" s="28"/>
      <c r="F70" s="28"/>
      <c r="G70" s="29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30"/>
      <c r="C71" s="31"/>
      <c r="D71" s="31"/>
      <c r="E71" s="31"/>
      <c r="F71" s="31"/>
      <c r="G71" s="3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78" t="s">
        <v>88</v>
      </c>
      <c r="C72" s="35"/>
      <c r="D72" s="35"/>
      <c r="E72" s="35"/>
      <c r="F72" s="35"/>
      <c r="G72" s="1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57" t="s">
        <v>89</v>
      </c>
      <c r="G73" s="5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59"/>
      <c r="G74" s="5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30"/>
      <c r="C75" s="31"/>
      <c r="D75" s="31"/>
      <c r="E75" s="31"/>
      <c r="F75" s="31"/>
      <c r="G75" s="3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60" t="s">
        <v>90</v>
      </c>
      <c r="C77" s="61" t="s">
        <v>91</v>
      </c>
      <c r="D77" s="35"/>
      <c r="E77" s="61" t="s">
        <v>92</v>
      </c>
      <c r="F77" s="35"/>
      <c r="G77" s="1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8">
        <v>1.0</v>
      </c>
      <c r="C78" s="62" t="s">
        <v>116</v>
      </c>
      <c r="D78" s="35"/>
      <c r="E78" s="63" t="s">
        <v>117</v>
      </c>
      <c r="F78" s="35"/>
      <c r="G78" s="1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8">
        <v>2.0</v>
      </c>
      <c r="C79" s="64"/>
      <c r="D79" s="31"/>
      <c r="E79" s="63"/>
      <c r="F79" s="35"/>
      <c r="G79" s="1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3">
        <v>3.0</v>
      </c>
      <c r="C80" s="65"/>
      <c r="D80" s="35"/>
      <c r="E80" s="65"/>
      <c r="F80" s="35"/>
      <c r="G80" s="1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3">
        <v>4.0</v>
      </c>
      <c r="C81" s="65"/>
      <c r="D81" s="35"/>
      <c r="E81" s="65"/>
      <c r="F81" s="35"/>
      <c r="G81" s="1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3">
        <v>5.0</v>
      </c>
      <c r="C82" s="65"/>
      <c r="D82" s="35"/>
      <c r="E82" s="65"/>
      <c r="F82" s="35"/>
      <c r="G82" s="1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66" t="s">
        <v>97</v>
      </c>
      <c r="C84" s="17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67" t="s">
        <v>118</v>
      </c>
      <c r="C85" s="28"/>
      <c r="D85" s="28"/>
      <c r="E85" s="28"/>
      <c r="F85" s="28"/>
      <c r="G85" s="29"/>
      <c r="H85" s="55"/>
      <c r="I85" s="55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59"/>
      <c r="G86" s="58"/>
      <c r="H86" s="55"/>
      <c r="I86" s="55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59"/>
      <c r="G87" s="58"/>
      <c r="H87" s="55"/>
      <c r="I87" s="55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59"/>
      <c r="G88" s="58"/>
      <c r="H88" s="55"/>
      <c r="I88" s="55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30"/>
      <c r="C89" s="31"/>
      <c r="D89" s="31"/>
      <c r="E89" s="31"/>
      <c r="F89" s="31"/>
      <c r="G89" s="32"/>
      <c r="H89" s="55"/>
      <c r="I89" s="55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66" t="s">
        <v>99</v>
      </c>
      <c r="C91" s="17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68" t="s">
        <v>100</v>
      </c>
      <c r="C92" s="33" t="s">
        <v>101</v>
      </c>
      <c r="D92" s="35"/>
      <c r="E92" s="35"/>
      <c r="F92" s="35"/>
      <c r="G92" s="1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69"/>
      <c r="C93" s="70" t="s">
        <v>102</v>
      </c>
      <c r="D93" s="35"/>
      <c r="E93" s="35"/>
      <c r="F93" s="35"/>
      <c r="G93" s="1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71" t="s">
        <v>59</v>
      </c>
      <c r="C94" s="70" t="s">
        <v>103</v>
      </c>
      <c r="D94" s="35"/>
      <c r="E94" s="35"/>
      <c r="F94" s="35"/>
      <c r="G94" s="1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69"/>
      <c r="C95" s="70" t="s">
        <v>104</v>
      </c>
      <c r="D95" s="35"/>
      <c r="E95" s="35"/>
      <c r="F95" s="35"/>
      <c r="G95" s="1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72" t="s">
        <v>105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72" t="s">
        <v>119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75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79" t="s">
        <v>114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mergeCells count="77">
    <mergeCell ref="B43:G43"/>
    <mergeCell ref="B44:G44"/>
    <mergeCell ref="D41:G41"/>
    <mergeCell ref="H41:H42"/>
    <mergeCell ref="H43:H47"/>
    <mergeCell ref="B48:G48"/>
    <mergeCell ref="B49:G49"/>
    <mergeCell ref="B51:G51"/>
    <mergeCell ref="B56:G56"/>
    <mergeCell ref="E81:G81"/>
    <mergeCell ref="E82:G82"/>
    <mergeCell ref="C77:D77"/>
    <mergeCell ref="E77:G77"/>
    <mergeCell ref="C78:D78"/>
    <mergeCell ref="E78:G78"/>
    <mergeCell ref="C79:D79"/>
    <mergeCell ref="E79:G79"/>
    <mergeCell ref="E80:G80"/>
    <mergeCell ref="C93:G93"/>
    <mergeCell ref="C94:G94"/>
    <mergeCell ref="C95:G95"/>
    <mergeCell ref="B98:I98"/>
    <mergeCell ref="E100:G101"/>
    <mergeCell ref="E102:G107"/>
    <mergeCell ref="E108:G109"/>
    <mergeCell ref="D113:E113"/>
    <mergeCell ref="C80:D80"/>
    <mergeCell ref="C81:D81"/>
    <mergeCell ref="C82:D82"/>
    <mergeCell ref="B84:C84"/>
    <mergeCell ref="B85:G89"/>
    <mergeCell ref="B91:C91"/>
    <mergeCell ref="C92:G92"/>
    <mergeCell ref="B7:B8"/>
    <mergeCell ref="B9:B10"/>
    <mergeCell ref="C9:C10"/>
    <mergeCell ref="B11:B12"/>
    <mergeCell ref="C11:C12"/>
    <mergeCell ref="B14:B15"/>
    <mergeCell ref="C14:C15"/>
    <mergeCell ref="G7:G8"/>
    <mergeCell ref="G9:G10"/>
    <mergeCell ref="G11:G12"/>
    <mergeCell ref="G14:G15"/>
    <mergeCell ref="B3:G4"/>
    <mergeCell ref="D5:E5"/>
    <mergeCell ref="D6:E6"/>
    <mergeCell ref="C7:C8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B23:G24"/>
    <mergeCell ref="B25:C25"/>
    <mergeCell ref="D25:G25"/>
    <mergeCell ref="B26:C26"/>
    <mergeCell ref="D26:G26"/>
    <mergeCell ref="B28:G39"/>
    <mergeCell ref="B41:B42"/>
    <mergeCell ref="C41:C42"/>
    <mergeCell ref="H48:H55"/>
    <mergeCell ref="H56:H58"/>
    <mergeCell ref="H59:H62"/>
    <mergeCell ref="H63:H64"/>
    <mergeCell ref="H65:H67"/>
    <mergeCell ref="B59:G59"/>
    <mergeCell ref="B63:G63"/>
    <mergeCell ref="B65:G65"/>
    <mergeCell ref="B68:G68"/>
    <mergeCell ref="B70:G71"/>
    <mergeCell ref="B72:G72"/>
    <mergeCell ref="B73:G75"/>
  </mergeCells>
  <drawing r:id="rId1"/>
</worksheet>
</file>